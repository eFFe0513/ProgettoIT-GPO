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<sst xmlns="http://schemas.openxmlformats.org/spreadsheetml/2006/main" count="32" uniqueCount="24">
  <si>
    <t>Voce di costo</t>
  </si>
  <si>
    <t>Costo (€/mese)</t>
  </si>
  <si>
    <t>Tipo</t>
  </si>
  <si>
    <t>Prezzo Unitario (€/mese)</t>
  </si>
  <si>
    <t>Affitto laboratorio</t>
  </si>
  <si>
    <t>CF</t>
  </si>
  <si>
    <t>Licenze software</t>
  </si>
  <si>
    <t>Stipendio analista (part-time)</t>
  </si>
  <si>
    <t>Abbonati mensili</t>
  </si>
  <si>
    <t>Stipendio sviluppatore</t>
  </si>
  <si>
    <t>Stipendio tester</t>
  </si>
  <si>
    <t>Manutenzione sistema</t>
  </si>
  <si>
    <t>Hosting cloud (quota fissa mensile)</t>
  </si>
  <si>
    <t>Supporto tecnico (quota fissa mensile)</t>
  </si>
  <si>
    <t>Costo aggiuntivo cloud per studente</t>
  </si>
  <si>
    <t>CV</t>
  </si>
  <si>
    <t>Costo aggiuntivo supporto per studente</t>
  </si>
  <si>
    <t>Totale costi fissi mensili (€)</t>
  </si>
  <si>
    <t>Costo Variabile Unitario (€/studente/mese)</t>
  </si>
  <si>
    <t>Margine di Contribuzione Unitario (€)</t>
  </si>
  <si>
    <t>Ricavi Totali (€)</t>
  </si>
  <si>
    <t>Costi Variabili Totali (€)</t>
  </si>
  <si>
    <t>Margine di Contribuzione Totale (€)</t>
  </si>
  <si>
    <t>BEP (studenti mensili)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</si>
</sst>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2" fillId="3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readingOrder="0" vertical="bottom"/>
    </xf>
    <xf borderId="2" fillId="4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1" fillId="5" fontId="2" numFmtId="0" xfId="0" applyAlignment="1" applyBorder="1" applyFill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1" fillId="5" fontId="2" numFmtId="0" xfId="0" applyAlignment="1" applyBorder="1" applyFont="1">
      <alignment horizontal="left" vertical="bottom"/>
    </xf>
    <xf borderId="1" fillId="5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left"/>
    </xf>
    <xf borderId="1" fillId="6" fontId="3" numFmtId="0" xfId="0" applyAlignment="1" applyBorder="1" applyFont="1">
      <alignment horizontal="center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13.25"/>
    <col customWidth="1" min="5" max="5" width="10.88"/>
    <col customWidth="1" min="6" max="6" width="19.88"/>
  </cols>
  <sheetData>
    <row r="2">
      <c r="B2" s="1" t="s">
        <v>0</v>
      </c>
      <c r="C2" s="1" t="s">
        <v>1</v>
      </c>
      <c r="D2" s="1" t="s">
        <v>2</v>
      </c>
      <c r="E2" s="2"/>
      <c r="F2" s="3" t="s">
        <v>3</v>
      </c>
      <c r="G2" s="4"/>
      <c r="H2" s="4"/>
      <c r="I2" s="4"/>
    </row>
    <row r="3">
      <c r="B3" s="5" t="s">
        <v>4</v>
      </c>
      <c r="C3" s="6">
        <v>2000.0</v>
      </c>
      <c r="D3" s="6" t="s">
        <v>5</v>
      </c>
      <c r="E3" s="4"/>
      <c r="F3" s="7">
        <v>9.99</v>
      </c>
      <c r="G3" s="4"/>
      <c r="H3" s="4"/>
      <c r="I3" s="4"/>
    </row>
    <row r="4">
      <c r="B4" s="8" t="s">
        <v>6</v>
      </c>
      <c r="C4" s="6">
        <v>300.0</v>
      </c>
      <c r="D4" s="6" t="s">
        <v>5</v>
      </c>
      <c r="E4" s="4"/>
      <c r="F4" s="4"/>
      <c r="G4" s="4"/>
      <c r="H4" s="4"/>
      <c r="I4" s="4"/>
    </row>
    <row r="5">
      <c r="B5" s="5" t="s">
        <v>7</v>
      </c>
      <c r="C5" s="6">
        <v>1500.0</v>
      </c>
      <c r="D5" s="6" t="s">
        <v>5</v>
      </c>
      <c r="E5" s="4"/>
      <c r="F5" s="9" t="s">
        <v>8</v>
      </c>
      <c r="G5" s="4"/>
      <c r="H5" s="4"/>
      <c r="I5" s="4"/>
    </row>
    <row r="6">
      <c r="B6" s="5" t="s">
        <v>9</v>
      </c>
      <c r="C6" s="6">
        <v>2000.0</v>
      </c>
      <c r="D6" s="6" t="s">
        <v>5</v>
      </c>
      <c r="E6" s="4"/>
      <c r="F6" s="7">
        <v>1000.0</v>
      </c>
      <c r="G6" s="4"/>
      <c r="H6" s="4"/>
      <c r="I6" s="4"/>
    </row>
    <row r="7">
      <c r="B7" s="5" t="s">
        <v>10</v>
      </c>
      <c r="C7" s="6">
        <v>1200.0</v>
      </c>
      <c r="D7" s="6" t="s">
        <v>5</v>
      </c>
      <c r="E7" s="4"/>
      <c r="F7" s="4"/>
      <c r="G7" s="4"/>
      <c r="H7" s="4"/>
      <c r="I7" s="4"/>
    </row>
    <row r="8">
      <c r="B8" s="5" t="s">
        <v>11</v>
      </c>
      <c r="C8" s="6">
        <v>400.0</v>
      </c>
      <c r="D8" s="6" t="s">
        <v>5</v>
      </c>
      <c r="E8" s="4"/>
      <c r="F8" s="4"/>
      <c r="G8" s="4"/>
      <c r="H8" s="4"/>
      <c r="I8" s="4"/>
    </row>
    <row r="9">
      <c r="B9" s="5" t="s">
        <v>12</v>
      </c>
      <c r="C9" s="6">
        <v>200.0</v>
      </c>
      <c r="D9" s="6" t="s">
        <v>5</v>
      </c>
      <c r="E9" s="4"/>
      <c r="F9" s="4"/>
      <c r="G9" s="4"/>
      <c r="H9" s="4"/>
      <c r="I9" s="4"/>
    </row>
    <row r="10">
      <c r="B10" s="5" t="s">
        <v>13</v>
      </c>
      <c r="C10" s="6">
        <v>500.0</v>
      </c>
      <c r="D10" s="6" t="s">
        <v>5</v>
      </c>
      <c r="E10" s="4"/>
      <c r="F10" s="4"/>
      <c r="G10" s="4"/>
      <c r="H10" s="4"/>
      <c r="I10" s="4"/>
    </row>
    <row r="11">
      <c r="B11" s="5" t="s">
        <v>14</v>
      </c>
      <c r="C11" s="6">
        <v>1.0</v>
      </c>
      <c r="D11" s="10" t="s">
        <v>15</v>
      </c>
      <c r="E11" s="4"/>
      <c r="F11" s="4"/>
      <c r="G11" s="4"/>
      <c r="H11" s="4"/>
      <c r="I11" s="4"/>
    </row>
    <row r="12">
      <c r="B12" s="5" t="s">
        <v>16</v>
      </c>
      <c r="C12" s="6">
        <v>0.5</v>
      </c>
      <c r="D12" s="10" t="s">
        <v>15</v>
      </c>
      <c r="E12" s="4"/>
      <c r="F12" s="4"/>
      <c r="G12" s="4"/>
      <c r="H12" s="4"/>
      <c r="I12" s="4"/>
    </row>
    <row r="13">
      <c r="D13" s="4"/>
      <c r="E13" s="4"/>
      <c r="F13" s="4"/>
      <c r="G13" s="4"/>
      <c r="H13" s="4"/>
      <c r="I13" s="4"/>
    </row>
    <row r="14">
      <c r="B14" s="4"/>
      <c r="C14" s="11"/>
      <c r="D14" s="4"/>
      <c r="E14" s="4"/>
      <c r="F14" s="4"/>
      <c r="G14" s="4"/>
      <c r="H14" s="4"/>
      <c r="I14" s="4"/>
    </row>
    <row r="15">
      <c r="B15" s="12" t="s">
        <v>17</v>
      </c>
      <c r="C15" s="6">
        <f>SUM(C3:C10)</f>
        <v>8100</v>
      </c>
      <c r="D15" s="4"/>
      <c r="E15" s="13"/>
      <c r="F15" s="4"/>
      <c r="G15" s="4"/>
      <c r="H15" s="4"/>
      <c r="I15" s="4"/>
    </row>
    <row r="16">
      <c r="B16" s="14" t="s">
        <v>18</v>
      </c>
      <c r="C16" s="6">
        <f>SUM(C11:C12)</f>
        <v>1.5</v>
      </c>
      <c r="D16" s="4"/>
      <c r="E16" s="4"/>
      <c r="F16" s="4"/>
      <c r="G16" s="4"/>
      <c r="H16" s="4"/>
      <c r="I16" s="4"/>
    </row>
    <row r="17">
      <c r="B17" s="12" t="s">
        <v>19</v>
      </c>
      <c r="C17" s="6">
        <f>SUM(F3,-C16)</f>
        <v>8.49</v>
      </c>
      <c r="D17" s="4"/>
      <c r="E17" s="4"/>
      <c r="F17" s="4"/>
      <c r="G17" s="4"/>
      <c r="H17" s="4"/>
      <c r="I17" s="4"/>
    </row>
    <row r="18">
      <c r="B18" s="15" t="s">
        <v>20</v>
      </c>
      <c r="C18" s="16">
        <f>PRODUCT(F3,F6)</f>
        <v>9990</v>
      </c>
      <c r="D18" s="4"/>
      <c r="E18" s="4"/>
      <c r="F18" s="4"/>
      <c r="G18" s="4"/>
      <c r="H18" s="4"/>
      <c r="I18" s="4"/>
    </row>
    <row r="19">
      <c r="B19" s="15" t="s">
        <v>21</v>
      </c>
      <c r="C19" s="16">
        <f>PRODUCT(C16,F6)</f>
        <v>1500</v>
      </c>
      <c r="D19" s="4"/>
      <c r="E19" s="4"/>
      <c r="F19" s="4"/>
      <c r="G19" s="4"/>
      <c r="H19" s="4"/>
      <c r="I19" s="4"/>
    </row>
    <row r="20">
      <c r="B20" s="12" t="s">
        <v>22</v>
      </c>
      <c r="C20" s="16">
        <f>SUM(C18,-C19)</f>
        <v>8490</v>
      </c>
      <c r="D20" s="4"/>
      <c r="E20" s="4"/>
      <c r="F20" s="4"/>
      <c r="G20" s="4"/>
      <c r="H20" s="4"/>
      <c r="I20" s="4"/>
    </row>
    <row r="21">
      <c r="B21" s="17"/>
      <c r="C21" s="18"/>
      <c r="D21" s="4"/>
      <c r="E21" s="4"/>
      <c r="F21" s="4"/>
      <c r="G21" s="4"/>
      <c r="H21" s="4"/>
      <c r="I21" s="4"/>
    </row>
    <row r="22">
      <c r="B22" s="14" t="s">
        <v>23</v>
      </c>
      <c r="C22" s="6">
        <f>DIVIDE(C15,C17)</f>
        <v>954.0636042</v>
      </c>
      <c r="D22" s="4"/>
      <c r="E22" s="4"/>
      <c r="F22" s="4"/>
      <c r="G22" s="4"/>
      <c r="H22" s="4"/>
      <c r="I22" s="4"/>
    </row>
    <row r="23">
      <c r="B23" s="4"/>
      <c r="C23" s="19"/>
    </row>
  </sheetData>
  <drawing r:id="rId1"/>
</worksheet>
</file>